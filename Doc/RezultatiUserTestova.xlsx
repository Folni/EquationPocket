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filip\Desktop\EquationPocket\Doc\"/>
    </mc:Choice>
  </mc:AlternateContent>
  <xr:revisionPtr revIDLastSave="0" documentId="13_ncr:1_{20E34A11-C29D-4494-A2FC-437359DC70A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zultati" sheetId="1" r:id="rId1"/>
    <sheet name="Agregirani podatc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2" l="1" a="1"/>
  <c r="C11" i="2" s="1"/>
  <c r="C10" i="2" a="1"/>
  <c r="C10" i="2" s="1"/>
  <c r="C9" i="2" a="1"/>
  <c r="C9" i="2" s="1"/>
  <c r="C8" i="2" a="1"/>
  <c r="C8" i="2" s="1"/>
  <c r="C7" i="2" a="1"/>
  <c r="C7" i="2" s="1"/>
  <c r="C6" i="2" a="1"/>
  <c r="C6" i="2" s="1"/>
  <c r="C5" i="2" a="1"/>
  <c r="C5" i="2" s="1"/>
  <c r="C4" i="2" a="1"/>
  <c r="C4" i="2" s="1"/>
  <c r="C3" i="2" a="1"/>
  <c r="C3" i="2" s="1"/>
  <c r="C2" i="2" a="1"/>
  <c r="C2" i="2" s="1"/>
  <c r="B11" i="2" a="1"/>
  <c r="B11" i="2" s="1"/>
  <c r="B10" i="2" a="1"/>
  <c r="B10" i="2" s="1"/>
  <c r="B9" i="2" a="1"/>
  <c r="B9" i="2" s="1"/>
  <c r="B8" i="2" a="1"/>
  <c r="B8" i="2" s="1"/>
  <c r="B7" i="2" a="1"/>
  <c r="B7" i="2" s="1"/>
  <c r="B6" i="2" a="1"/>
  <c r="B6" i="2" s="1"/>
  <c r="B5" i="2" a="1"/>
  <c r="B5" i="2" s="1"/>
  <c r="B4" i="2" a="1"/>
  <c r="B4" i="2" s="1"/>
  <c r="B3" i="2" a="1"/>
  <c r="B3" i="2" s="1"/>
  <c r="B2" i="2" a="1"/>
  <c r="B2" i="2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<sst xmlns="http://schemas.openxmlformats.org/spreadsheetml/2006/main" count="102" uniqueCount="61">
  <si>
    <t>User</t>
  </si>
  <si>
    <t>Osnovna linearna jednadžba</t>
  </si>
  <si>
    <t>Gustoća</t>
  </si>
  <si>
    <t xml:space="preserve">Einsteinova formula </t>
  </si>
  <si>
    <t xml:space="preserve">Newtonov zakon </t>
  </si>
  <si>
    <t>Idealni plinski zakon</t>
  </si>
  <si>
    <t>Pitagorin poučak</t>
  </si>
  <si>
    <t>Kvadrat zbroja</t>
  </si>
  <si>
    <t>Diferencijalni račun</t>
  </si>
  <si>
    <t>Kvadratna jednadžba s korijenom</t>
  </si>
  <si>
    <t>Napredni termodinamički omjer</t>
  </si>
  <si>
    <t>Pixeli kamere</t>
  </si>
  <si>
    <t>Verzija androida</t>
  </si>
  <si>
    <t>Prosječna ocjena</t>
  </si>
  <si>
    <t>Osoba1</t>
  </si>
  <si>
    <t>Osoba2</t>
  </si>
  <si>
    <t>Osoba3</t>
  </si>
  <si>
    <t>Osoba4</t>
  </si>
  <si>
    <t>Osoba5</t>
  </si>
  <si>
    <t>Osoba6</t>
  </si>
  <si>
    <t>Osoba7</t>
  </si>
  <si>
    <t>Osoba8</t>
  </si>
  <si>
    <t>Osoba9</t>
  </si>
  <si>
    <t>Osoba10</t>
  </si>
  <si>
    <t>Osoba11</t>
  </si>
  <si>
    <t>Osoba12</t>
  </si>
  <si>
    <t>Osoba13</t>
  </si>
  <si>
    <t>Osoba14</t>
  </si>
  <si>
    <t>Osoba15</t>
  </si>
  <si>
    <t>Osoba16</t>
  </si>
  <si>
    <t>Osoba17</t>
  </si>
  <si>
    <t>Osoba18</t>
  </si>
  <si>
    <t>Osoba19</t>
  </si>
  <si>
    <t>Osoba20</t>
  </si>
  <si>
    <t>Osoba21</t>
  </si>
  <si>
    <t>Osoba22</t>
  </si>
  <si>
    <t>Osoba23</t>
  </si>
  <si>
    <t>Osoba24</t>
  </si>
  <si>
    <t>Osoba25</t>
  </si>
  <si>
    <t>Newtonov zakon</t>
  </si>
  <si>
    <t>Einsteinova formula</t>
  </si>
  <si>
    <t>12 MPix</t>
  </si>
  <si>
    <t>Android 10</t>
  </si>
  <si>
    <t>64 MPix</t>
  </si>
  <si>
    <t>Android 14</t>
  </si>
  <si>
    <t>48 MPix</t>
  </si>
  <si>
    <t>Android 11</t>
  </si>
  <si>
    <t>108 MPix</t>
  </si>
  <si>
    <t>Android 15</t>
  </si>
  <si>
    <t>Android 9</t>
  </si>
  <si>
    <t>50 MPix</t>
  </si>
  <si>
    <t>Android 13</t>
  </si>
  <si>
    <t>16 MPix</t>
  </si>
  <si>
    <t>200 MPix</t>
  </si>
  <si>
    <t>32 MPix</t>
  </si>
  <si>
    <t>Android 12</t>
  </si>
  <si>
    <t>Android 8</t>
  </si>
  <si>
    <t>20 MPix</t>
  </si>
  <si>
    <t>Naziv formule / jednadžbe</t>
  </si>
  <si>
    <t>&lt; 50 MPix</t>
  </si>
  <si>
    <t>≥ 50 MPix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</si>
</sst>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3" borderId="2" xfId="0" applyFill="1" applyBorder="1"/>
    <xf numFmtId="0" fontId="0" fillId="2" borderId="3" xfId="0" applyFill="1" applyBorder="1"/>
    <xf numFmtId="0" fontId="2" fillId="3" borderId="1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0" fontId="2" fillId="0" borderId="0" xfId="0" applyFont="1" applyBorder="1" applyAlignment="1">
      <alignment horizontal="left" vertical="center" wrapText="1" indent="1"/>
    </xf>
    <xf numFmtId="0" fontId="2" fillId="3" borderId="3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DE" sz="1400" b="0" i="0" u="none" strike="noStrike" baseline="0"/>
              <a:t>Točnost OCR-a po formulama ovisno o rezoluciji kamere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'Agregirani podatci'!$B$1</c:f>
              <c:strCache>
                <c:ptCount val="1"/>
                <c:pt idx="0">
                  <c:v>&lt; 50 MPix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'Agregirani podatci'!$A$2:$A$11</c:f>
              <c:strCache>
                <c:ptCount val="10"/>
                <c:pt idx="0">
                  <c:v>Osnovna linearna jednadžba</c:v>
                </c:pt>
                <c:pt idx="1">
                  <c:v>Newtonov zakon</c:v>
                </c:pt>
                <c:pt idx="2">
                  <c:v>Einsteinova formula</c:v>
                </c:pt>
                <c:pt idx="3">
                  <c:v>Gustoća</c:v>
                </c:pt>
                <c:pt idx="4">
                  <c:v>Idealni plinski zakon</c:v>
                </c:pt>
                <c:pt idx="5">
                  <c:v>Pitagorin poučak</c:v>
                </c:pt>
                <c:pt idx="6">
                  <c:v>Kvadrat zbroja</c:v>
                </c:pt>
                <c:pt idx="7">
                  <c:v>Diferencijalni račun</c:v>
                </c:pt>
                <c:pt idx="8">
                  <c:v>Kvadratna jednadžba s korijenom</c:v>
                </c:pt>
                <c:pt idx="9">
                  <c:v>Napredni termodinamički omjer</c:v>
                </c:pt>
              </c:strCache>
            </c:strRef>
          </c:cat>
          <c:val>
            <c:numRef>
              <c:f>'Agregirani podatci'!$B$2:$B$11</c:f>
              <c:numCache>
                <c:formatCode>General</c:formatCode>
                <c:ptCount val="10"/>
                <c:pt idx="0">
                  <c:v>4.2857142857142856</c:v>
                </c:pt>
                <c:pt idx="1">
                  <c:v>4.0714285714285712</c:v>
                </c:pt>
                <c:pt idx="2">
                  <c:v>2.2142857142857144</c:v>
                </c:pt>
                <c:pt idx="3">
                  <c:v>4.2142857142857144</c:v>
                </c:pt>
                <c:pt idx="4">
                  <c:v>3.5</c:v>
                </c:pt>
                <c:pt idx="5">
                  <c:v>2.1428571428571428</c:v>
                </c:pt>
                <c:pt idx="6">
                  <c:v>2.0714285714285716</c:v>
                </c:pt>
                <c:pt idx="7">
                  <c:v>2.7857142857142856</c:v>
                </c:pt>
                <c:pt idx="8">
                  <c:v>1.5</c:v>
                </c:pt>
                <c:pt idx="9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3C-4981-BF30-D3B2E7DFA67A}"/>
            </c:ext>
          </c:extLst>
        </c:ser>
        <c:ser>
          <c:idx val="1"/>
          <c:order val="1"/>
          <c:tx>
            <c:strRef>
              <c:f>'Agregirani podatci'!$C$1</c:f>
              <c:strCache>
                <c:ptCount val="1"/>
                <c:pt idx="0">
                  <c:v>≥ 50 MPix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'Agregirani podatci'!$A$2:$A$11</c:f>
              <c:strCache>
                <c:ptCount val="10"/>
                <c:pt idx="0">
                  <c:v>Osnovna linearna jednadžba</c:v>
                </c:pt>
                <c:pt idx="1">
                  <c:v>Newtonov zakon</c:v>
                </c:pt>
                <c:pt idx="2">
                  <c:v>Einsteinova formula</c:v>
                </c:pt>
                <c:pt idx="3">
                  <c:v>Gustoća</c:v>
                </c:pt>
                <c:pt idx="4">
                  <c:v>Idealni plinski zakon</c:v>
                </c:pt>
                <c:pt idx="5">
                  <c:v>Pitagorin poučak</c:v>
                </c:pt>
                <c:pt idx="6">
                  <c:v>Kvadrat zbroja</c:v>
                </c:pt>
                <c:pt idx="7">
                  <c:v>Diferencijalni račun</c:v>
                </c:pt>
                <c:pt idx="8">
                  <c:v>Kvadratna jednadžba s korijenom</c:v>
                </c:pt>
                <c:pt idx="9">
                  <c:v>Napredni termodinamički omjer</c:v>
                </c:pt>
              </c:strCache>
            </c:strRef>
          </c:cat>
          <c:val>
            <c:numRef>
              <c:f>'Agregirani podatci'!$C$2:$C$11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4.9090909090909092</c:v>
                </c:pt>
                <c:pt idx="3">
                  <c:v>5</c:v>
                </c:pt>
                <c:pt idx="4">
                  <c:v>5</c:v>
                </c:pt>
                <c:pt idx="5">
                  <c:v>4.9090909090909092</c:v>
                </c:pt>
                <c:pt idx="6">
                  <c:v>4.9090909090909092</c:v>
                </c:pt>
                <c:pt idx="7">
                  <c:v>4.8181818181818183</c:v>
                </c:pt>
                <c:pt idx="8">
                  <c:v>4.7272727272727275</c:v>
                </c:pt>
                <c:pt idx="9">
                  <c:v>4.4545454545454541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3C-4981-BF30-D3B2E7DFA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3646767"/>
        <c:axId val="617410607"/>
      </c:barChart>
      <c:catAx>
        <c:axId val="66364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617410607"/>
        <c:crosses val="autoZero"/>
        <c:auto val="1"/>
        <c:lblAlgn val="ctr"/>
        <c:lblOffset val="100"/>
        <c:noMultiLvlLbl val="0"/>
      </c:catAx>
      <c:valAx>
        <c:axId val="617410607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663646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19</xdr:col>
      <xdr:colOff>85725</xdr:colOff>
      <xdr:row>15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13FD0D-DCCC-4EE1-F976-50BB3D0F39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"/>
  <sheetViews>
    <sheetView workbookViewId="0">
      <selection activeCell="A32" sqref="A32"/>
    </sheetView>
  </sheetViews>
  <sheetFormatPr defaultRowHeight="15" x14ac:dyDescent="0.25"/>
  <cols>
    <col min="2" max="2" width="26.5703125" bestFit="1" customWidth="1"/>
    <col min="3" max="3" width="16.42578125" bestFit="1" customWidth="1"/>
    <col min="4" max="4" width="19.42578125" bestFit="1" customWidth="1"/>
    <col min="6" max="6" width="19.28515625" bestFit="1" customWidth="1"/>
    <col min="7" max="7" width="15.85546875" bestFit="1" customWidth="1"/>
    <col min="8" max="8" width="13.7109375" bestFit="1" customWidth="1"/>
    <col min="9" max="9" width="18.5703125" bestFit="1" customWidth="1"/>
    <col min="10" max="10" width="31" bestFit="1" customWidth="1"/>
    <col min="11" max="11" width="30.140625" bestFit="1" customWidth="1"/>
    <col min="12" max="12" width="13.28515625" bestFit="1" customWidth="1"/>
    <col min="13" max="13" width="15.5703125" bestFit="1" customWidth="1"/>
    <col min="14" max="14" width="16" bestFit="1" customWidth="1"/>
  </cols>
  <sheetData>
    <row r="1" spans="1:14" x14ac:dyDescent="0.25">
      <c r="A1" s="1" t="s">
        <v>0</v>
      </c>
      <c r="B1" s="3" t="s">
        <v>1</v>
      </c>
      <c r="C1" s="3" t="s">
        <v>4</v>
      </c>
      <c r="D1" s="3" t="s">
        <v>3</v>
      </c>
      <c r="E1" s="3" t="s">
        <v>2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2" t="s">
        <v>14</v>
      </c>
      <c r="B2" s="4">
        <v>5</v>
      </c>
      <c r="C2" s="4">
        <v>5</v>
      </c>
      <c r="D2" s="4">
        <v>2</v>
      </c>
      <c r="E2" s="4">
        <v>5</v>
      </c>
      <c r="F2" s="4">
        <v>4</v>
      </c>
      <c r="G2" s="4">
        <v>2</v>
      </c>
      <c r="H2" s="4">
        <v>2</v>
      </c>
      <c r="I2" s="4">
        <v>3</v>
      </c>
      <c r="J2" s="4">
        <v>1</v>
      </c>
      <c r="K2" s="4">
        <v>1</v>
      </c>
      <c r="L2" s="4" t="s">
        <v>41</v>
      </c>
      <c r="M2" s="4" t="s">
        <v>42</v>
      </c>
      <c r="N2" s="5">
        <f>AVERAGE(B2:K2)</f>
        <v>3</v>
      </c>
    </row>
    <row r="3" spans="1:14" x14ac:dyDescent="0.25">
      <c r="A3" s="2" t="s">
        <v>15</v>
      </c>
      <c r="B3" s="4">
        <v>5</v>
      </c>
      <c r="C3" s="4">
        <v>5</v>
      </c>
      <c r="D3" s="4">
        <v>5</v>
      </c>
      <c r="E3" s="4">
        <v>5</v>
      </c>
      <c r="F3" s="4">
        <v>5</v>
      </c>
      <c r="G3" s="4">
        <v>5</v>
      </c>
      <c r="H3" s="4">
        <v>5</v>
      </c>
      <c r="I3" s="4">
        <v>5</v>
      </c>
      <c r="J3" s="4">
        <v>4</v>
      </c>
      <c r="K3" s="4">
        <v>4</v>
      </c>
      <c r="L3" s="4" t="s">
        <v>43</v>
      </c>
      <c r="M3" s="4" t="s">
        <v>44</v>
      </c>
      <c r="N3" s="5">
        <f t="shared" ref="N3:N26" si="0">AVERAGE(B3:K3)</f>
        <v>4.8</v>
      </c>
    </row>
    <row r="4" spans="1:14" x14ac:dyDescent="0.25">
      <c r="A4" s="2" t="s">
        <v>16</v>
      </c>
      <c r="B4" s="4">
        <v>4</v>
      </c>
      <c r="C4" s="4">
        <v>4</v>
      </c>
      <c r="D4" s="4">
        <v>3</v>
      </c>
      <c r="E4" s="4">
        <v>4</v>
      </c>
      <c r="F4" s="4">
        <v>4</v>
      </c>
      <c r="G4" s="4">
        <v>2</v>
      </c>
      <c r="H4" s="4">
        <v>3</v>
      </c>
      <c r="I4" s="4">
        <v>3</v>
      </c>
      <c r="J4" s="4">
        <v>2</v>
      </c>
      <c r="K4" s="4">
        <v>2</v>
      </c>
      <c r="L4" s="4" t="s">
        <v>45</v>
      </c>
      <c r="M4" s="4" t="s">
        <v>46</v>
      </c>
      <c r="N4" s="5">
        <f t="shared" si="0"/>
        <v>3.1</v>
      </c>
    </row>
    <row r="5" spans="1:14" x14ac:dyDescent="0.25">
      <c r="A5" s="2" t="s">
        <v>17</v>
      </c>
      <c r="B5" s="4">
        <v>5</v>
      </c>
      <c r="C5" s="4">
        <v>5</v>
      </c>
      <c r="D5" s="4">
        <v>5</v>
      </c>
      <c r="E5" s="4">
        <v>5</v>
      </c>
      <c r="F5" s="4">
        <v>5</v>
      </c>
      <c r="G5" s="4">
        <v>5</v>
      </c>
      <c r="H5" s="4">
        <v>5</v>
      </c>
      <c r="I5" s="4">
        <v>5</v>
      </c>
      <c r="J5" s="4">
        <v>5</v>
      </c>
      <c r="K5" s="4">
        <v>5</v>
      </c>
      <c r="L5" s="4" t="s">
        <v>47</v>
      </c>
      <c r="M5" s="4" t="s">
        <v>48</v>
      </c>
      <c r="N5" s="5">
        <f t="shared" si="0"/>
        <v>5</v>
      </c>
    </row>
    <row r="6" spans="1:14" x14ac:dyDescent="0.25">
      <c r="A6" s="2" t="s">
        <v>18</v>
      </c>
      <c r="B6" s="7">
        <v>4</v>
      </c>
      <c r="C6" s="7">
        <v>4</v>
      </c>
      <c r="D6" s="7">
        <v>1</v>
      </c>
      <c r="E6" s="7">
        <v>4</v>
      </c>
      <c r="F6" s="7">
        <v>3</v>
      </c>
      <c r="G6" s="7">
        <v>2</v>
      </c>
      <c r="H6" s="7">
        <v>1</v>
      </c>
      <c r="I6" s="7">
        <v>2</v>
      </c>
      <c r="J6" s="7">
        <v>1</v>
      </c>
      <c r="K6" s="7">
        <v>1</v>
      </c>
      <c r="L6" s="7" t="s">
        <v>41</v>
      </c>
      <c r="M6" s="7" t="s">
        <v>49</v>
      </c>
      <c r="N6" s="5">
        <f t="shared" si="0"/>
        <v>2.2999999999999998</v>
      </c>
    </row>
    <row r="7" spans="1:14" x14ac:dyDescent="0.25">
      <c r="A7" s="2" t="s">
        <v>19</v>
      </c>
      <c r="B7" s="4">
        <v>5</v>
      </c>
      <c r="C7" s="4">
        <v>5</v>
      </c>
      <c r="D7" s="4">
        <v>5</v>
      </c>
      <c r="E7" s="4">
        <v>5</v>
      </c>
      <c r="F7" s="4">
        <v>5</v>
      </c>
      <c r="G7" s="4">
        <v>5</v>
      </c>
      <c r="H7" s="4">
        <v>5</v>
      </c>
      <c r="I7" s="4">
        <v>5</v>
      </c>
      <c r="J7" s="4">
        <v>5</v>
      </c>
      <c r="K7" s="4">
        <v>4</v>
      </c>
      <c r="L7" s="4" t="s">
        <v>50</v>
      </c>
      <c r="M7" s="4" t="s">
        <v>51</v>
      </c>
      <c r="N7" s="5">
        <f t="shared" si="0"/>
        <v>4.9000000000000004</v>
      </c>
    </row>
    <row r="8" spans="1:14" x14ac:dyDescent="0.25">
      <c r="A8" s="2" t="s">
        <v>20</v>
      </c>
      <c r="B8" s="4">
        <v>4</v>
      </c>
      <c r="C8" s="4">
        <v>4</v>
      </c>
      <c r="D8" s="4">
        <v>2</v>
      </c>
      <c r="E8" s="4">
        <v>4</v>
      </c>
      <c r="F8" s="4">
        <v>3</v>
      </c>
      <c r="G8" s="4">
        <v>2</v>
      </c>
      <c r="H8" s="4">
        <v>2</v>
      </c>
      <c r="I8" s="4">
        <v>3</v>
      </c>
      <c r="J8" s="4">
        <v>1</v>
      </c>
      <c r="K8" s="4">
        <v>1</v>
      </c>
      <c r="L8" s="4" t="s">
        <v>52</v>
      </c>
      <c r="M8" s="4" t="s">
        <v>42</v>
      </c>
      <c r="N8" s="5">
        <f t="shared" si="0"/>
        <v>2.6</v>
      </c>
    </row>
    <row r="9" spans="1:14" x14ac:dyDescent="0.25">
      <c r="A9" s="2" t="s">
        <v>21</v>
      </c>
      <c r="B9" s="4">
        <v>5</v>
      </c>
      <c r="C9" s="4">
        <v>5</v>
      </c>
      <c r="D9" s="4">
        <v>5</v>
      </c>
      <c r="E9" s="4">
        <v>5</v>
      </c>
      <c r="F9" s="4">
        <v>5</v>
      </c>
      <c r="G9" s="4">
        <v>5</v>
      </c>
      <c r="H9" s="4">
        <v>5</v>
      </c>
      <c r="I9" s="4">
        <v>5</v>
      </c>
      <c r="J9" s="4">
        <v>5</v>
      </c>
      <c r="K9" s="4">
        <v>5</v>
      </c>
      <c r="L9" s="4" t="s">
        <v>53</v>
      </c>
      <c r="M9" s="4" t="s">
        <v>44</v>
      </c>
      <c r="N9" s="5">
        <f t="shared" si="0"/>
        <v>5</v>
      </c>
    </row>
    <row r="10" spans="1:14" x14ac:dyDescent="0.25">
      <c r="A10" s="2" t="s">
        <v>22</v>
      </c>
      <c r="B10" s="4">
        <v>4</v>
      </c>
      <c r="C10" s="4">
        <v>4</v>
      </c>
      <c r="D10" s="4">
        <v>3</v>
      </c>
      <c r="E10" s="4">
        <v>4</v>
      </c>
      <c r="F10" s="4">
        <v>4</v>
      </c>
      <c r="G10" s="4">
        <v>3</v>
      </c>
      <c r="H10" s="4">
        <v>2</v>
      </c>
      <c r="I10" s="4">
        <v>3</v>
      </c>
      <c r="J10" s="4">
        <v>2</v>
      </c>
      <c r="K10" s="4">
        <v>2</v>
      </c>
      <c r="L10" s="4" t="s">
        <v>54</v>
      </c>
      <c r="M10" s="4" t="s">
        <v>55</v>
      </c>
      <c r="N10" s="5">
        <f t="shared" si="0"/>
        <v>3.1</v>
      </c>
    </row>
    <row r="11" spans="1:14" x14ac:dyDescent="0.25">
      <c r="A11" s="2" t="s">
        <v>23</v>
      </c>
      <c r="B11" s="4">
        <v>5</v>
      </c>
      <c r="C11" s="4">
        <v>4</v>
      </c>
      <c r="D11" s="4">
        <v>2</v>
      </c>
      <c r="E11" s="4">
        <v>4</v>
      </c>
      <c r="F11" s="4">
        <v>3</v>
      </c>
      <c r="G11" s="4">
        <v>2</v>
      </c>
      <c r="H11" s="4">
        <v>1</v>
      </c>
      <c r="I11" s="4">
        <v>2</v>
      </c>
      <c r="J11" s="4">
        <v>1</v>
      </c>
      <c r="K11" s="4">
        <v>1</v>
      </c>
      <c r="L11" s="4" t="s">
        <v>41</v>
      </c>
      <c r="M11" s="4" t="s">
        <v>56</v>
      </c>
      <c r="N11" s="5">
        <f t="shared" si="0"/>
        <v>2.5</v>
      </c>
    </row>
    <row r="12" spans="1:14" x14ac:dyDescent="0.25">
      <c r="A12" s="2" t="s">
        <v>24</v>
      </c>
      <c r="B12" s="4">
        <v>5</v>
      </c>
      <c r="C12" s="4">
        <v>5</v>
      </c>
      <c r="D12" s="4">
        <v>4</v>
      </c>
      <c r="E12" s="4">
        <v>5</v>
      </c>
      <c r="F12" s="4">
        <v>4</v>
      </c>
      <c r="G12" s="4">
        <v>4</v>
      </c>
      <c r="H12" s="4">
        <v>4</v>
      </c>
      <c r="I12" s="4">
        <v>4</v>
      </c>
      <c r="J12" s="4">
        <v>3</v>
      </c>
      <c r="K12" s="4">
        <v>3</v>
      </c>
      <c r="L12" s="4" t="s">
        <v>45</v>
      </c>
      <c r="M12" s="4" t="s">
        <v>51</v>
      </c>
      <c r="N12" s="5">
        <f t="shared" si="0"/>
        <v>4.0999999999999996</v>
      </c>
    </row>
    <row r="13" spans="1:14" x14ac:dyDescent="0.25">
      <c r="A13" s="2" t="s">
        <v>25</v>
      </c>
      <c r="B13" s="4">
        <v>5</v>
      </c>
      <c r="C13" s="4">
        <v>5</v>
      </c>
      <c r="D13" s="4">
        <v>5</v>
      </c>
      <c r="E13" s="4">
        <v>5</v>
      </c>
      <c r="F13" s="4">
        <v>5</v>
      </c>
      <c r="G13" s="4">
        <v>5</v>
      </c>
      <c r="H13" s="4">
        <v>5</v>
      </c>
      <c r="I13" s="4">
        <v>5</v>
      </c>
      <c r="J13" s="4">
        <v>4</v>
      </c>
      <c r="K13" s="4">
        <v>5</v>
      </c>
      <c r="L13" s="4" t="s">
        <v>43</v>
      </c>
      <c r="M13" s="4" t="s">
        <v>55</v>
      </c>
      <c r="N13" s="5">
        <f t="shared" si="0"/>
        <v>4.9000000000000004</v>
      </c>
    </row>
    <row r="14" spans="1:14" x14ac:dyDescent="0.25">
      <c r="A14" s="2" t="s">
        <v>26</v>
      </c>
      <c r="B14" s="4">
        <v>4</v>
      </c>
      <c r="C14" s="4">
        <v>4</v>
      </c>
      <c r="D14" s="4">
        <v>2</v>
      </c>
      <c r="E14" s="4">
        <v>4</v>
      </c>
      <c r="F14" s="4">
        <v>3</v>
      </c>
      <c r="G14" s="4">
        <v>1</v>
      </c>
      <c r="H14" s="4">
        <v>2</v>
      </c>
      <c r="I14" s="4">
        <v>2</v>
      </c>
      <c r="J14" s="4">
        <v>1</v>
      </c>
      <c r="K14" s="4">
        <v>1</v>
      </c>
      <c r="L14" s="4" t="s">
        <v>57</v>
      </c>
      <c r="M14" s="4" t="s">
        <v>49</v>
      </c>
      <c r="N14" s="5">
        <f t="shared" si="0"/>
        <v>2.4</v>
      </c>
    </row>
    <row r="15" spans="1:14" x14ac:dyDescent="0.25">
      <c r="A15" s="2" t="s">
        <v>27</v>
      </c>
      <c r="B15" s="4">
        <v>5</v>
      </c>
      <c r="C15" s="4">
        <v>5</v>
      </c>
      <c r="D15" s="4">
        <v>5</v>
      </c>
      <c r="E15" s="4">
        <v>5</v>
      </c>
      <c r="F15" s="4">
        <v>5</v>
      </c>
      <c r="G15" s="4">
        <v>5</v>
      </c>
      <c r="H15" s="4">
        <v>5</v>
      </c>
      <c r="I15" s="4">
        <v>5</v>
      </c>
      <c r="J15" s="4">
        <v>5</v>
      </c>
      <c r="K15" s="4">
        <v>5</v>
      </c>
      <c r="L15" s="4" t="s">
        <v>47</v>
      </c>
      <c r="M15" s="4" t="s">
        <v>44</v>
      </c>
      <c r="N15" s="5">
        <f t="shared" si="0"/>
        <v>5</v>
      </c>
    </row>
    <row r="16" spans="1:14" x14ac:dyDescent="0.25">
      <c r="A16" s="2" t="s">
        <v>28</v>
      </c>
      <c r="B16" s="4">
        <v>4</v>
      </c>
      <c r="C16" s="4">
        <v>4</v>
      </c>
      <c r="D16" s="4">
        <v>2</v>
      </c>
      <c r="E16" s="4">
        <v>4</v>
      </c>
      <c r="F16" s="4">
        <v>4</v>
      </c>
      <c r="G16" s="4">
        <v>2</v>
      </c>
      <c r="H16" s="4">
        <v>2</v>
      </c>
      <c r="I16" s="4">
        <v>3</v>
      </c>
      <c r="J16" s="4">
        <v>2</v>
      </c>
      <c r="K16" s="4">
        <v>1</v>
      </c>
      <c r="L16" s="4" t="s">
        <v>41</v>
      </c>
      <c r="M16" s="4" t="s">
        <v>46</v>
      </c>
      <c r="N16" s="5">
        <f t="shared" si="0"/>
        <v>2.8</v>
      </c>
    </row>
    <row r="17" spans="1:14" x14ac:dyDescent="0.25">
      <c r="A17" s="2" t="s">
        <v>29</v>
      </c>
      <c r="B17" s="4">
        <v>5</v>
      </c>
      <c r="C17" s="4">
        <v>5</v>
      </c>
      <c r="D17" s="4">
        <v>5</v>
      </c>
      <c r="E17" s="4">
        <v>5</v>
      </c>
      <c r="F17" s="4">
        <v>5</v>
      </c>
      <c r="G17" s="4">
        <v>5</v>
      </c>
      <c r="H17" s="4">
        <v>5</v>
      </c>
      <c r="I17" s="4">
        <v>4</v>
      </c>
      <c r="J17" s="4">
        <v>5</v>
      </c>
      <c r="K17" s="4">
        <v>4</v>
      </c>
      <c r="L17" s="4" t="s">
        <v>50</v>
      </c>
      <c r="M17" s="4" t="s">
        <v>44</v>
      </c>
      <c r="N17" s="5">
        <f t="shared" si="0"/>
        <v>4.8</v>
      </c>
    </row>
    <row r="18" spans="1:14" x14ac:dyDescent="0.25">
      <c r="A18" s="2" t="s">
        <v>30</v>
      </c>
      <c r="B18" s="4">
        <v>4</v>
      </c>
      <c r="C18" s="4">
        <v>3</v>
      </c>
      <c r="D18" s="4">
        <v>1</v>
      </c>
      <c r="E18" s="4">
        <v>4</v>
      </c>
      <c r="F18" s="4">
        <v>3</v>
      </c>
      <c r="G18" s="4">
        <v>1</v>
      </c>
      <c r="H18" s="4">
        <v>1</v>
      </c>
      <c r="I18" s="4">
        <v>2</v>
      </c>
      <c r="J18" s="4">
        <v>1</v>
      </c>
      <c r="K18" s="4">
        <v>1</v>
      </c>
      <c r="L18" s="4" t="s">
        <v>41</v>
      </c>
      <c r="M18" s="4" t="s">
        <v>49</v>
      </c>
      <c r="N18" s="5">
        <f t="shared" si="0"/>
        <v>2.1</v>
      </c>
    </row>
    <row r="19" spans="1:14" x14ac:dyDescent="0.25">
      <c r="A19" s="2" t="s">
        <v>31</v>
      </c>
      <c r="B19" s="4">
        <v>5</v>
      </c>
      <c r="C19" s="4">
        <v>5</v>
      </c>
      <c r="D19" s="4">
        <v>3</v>
      </c>
      <c r="E19" s="4">
        <v>5</v>
      </c>
      <c r="F19" s="4">
        <v>4</v>
      </c>
      <c r="G19" s="4">
        <v>3</v>
      </c>
      <c r="H19" s="4">
        <v>3</v>
      </c>
      <c r="I19" s="4">
        <v>4</v>
      </c>
      <c r="J19" s="4">
        <v>2</v>
      </c>
      <c r="K19" s="4">
        <v>2</v>
      </c>
      <c r="L19" s="4" t="s">
        <v>45</v>
      </c>
      <c r="M19" s="4" t="s">
        <v>55</v>
      </c>
      <c r="N19" s="5">
        <f t="shared" si="0"/>
        <v>3.6</v>
      </c>
    </row>
    <row r="20" spans="1:14" x14ac:dyDescent="0.25">
      <c r="A20" s="2" t="s">
        <v>32</v>
      </c>
      <c r="B20" s="4">
        <v>5</v>
      </c>
      <c r="C20" s="4">
        <v>5</v>
      </c>
      <c r="D20" s="4">
        <v>5</v>
      </c>
      <c r="E20" s="4">
        <v>5</v>
      </c>
      <c r="F20" s="4">
        <v>5</v>
      </c>
      <c r="G20" s="4">
        <v>5</v>
      </c>
      <c r="H20" s="4">
        <v>5</v>
      </c>
      <c r="I20" s="4">
        <v>5</v>
      </c>
      <c r="J20" s="4">
        <v>5</v>
      </c>
      <c r="K20" s="4">
        <v>5</v>
      </c>
      <c r="L20" s="4" t="s">
        <v>53</v>
      </c>
      <c r="M20" s="4" t="s">
        <v>48</v>
      </c>
      <c r="N20" s="5">
        <f t="shared" si="0"/>
        <v>5</v>
      </c>
    </row>
    <row r="21" spans="1:14" x14ac:dyDescent="0.25">
      <c r="A21" s="2" t="s">
        <v>33</v>
      </c>
      <c r="B21" s="4">
        <v>4</v>
      </c>
      <c r="C21" s="4">
        <v>4</v>
      </c>
      <c r="D21" s="4">
        <v>2</v>
      </c>
      <c r="E21" s="4">
        <v>4</v>
      </c>
      <c r="F21" s="4">
        <v>3</v>
      </c>
      <c r="G21" s="4">
        <v>2</v>
      </c>
      <c r="H21" s="4">
        <v>2</v>
      </c>
      <c r="I21" s="4">
        <v>3</v>
      </c>
      <c r="J21" s="4">
        <v>1</v>
      </c>
      <c r="K21" s="4">
        <v>2</v>
      </c>
      <c r="L21" s="4" t="s">
        <v>52</v>
      </c>
      <c r="M21" s="4" t="s">
        <v>42</v>
      </c>
      <c r="N21" s="5">
        <f t="shared" si="0"/>
        <v>2.7</v>
      </c>
    </row>
    <row r="22" spans="1:14" x14ac:dyDescent="0.25">
      <c r="A22" s="2" t="s">
        <v>34</v>
      </c>
      <c r="B22" s="4">
        <v>5</v>
      </c>
      <c r="C22" s="4">
        <v>5</v>
      </c>
      <c r="D22" s="4">
        <v>4</v>
      </c>
      <c r="E22" s="4">
        <v>5</v>
      </c>
      <c r="F22" s="4">
        <v>5</v>
      </c>
      <c r="G22" s="4">
        <v>4</v>
      </c>
      <c r="H22" s="4">
        <v>4</v>
      </c>
      <c r="I22" s="4">
        <v>4</v>
      </c>
      <c r="J22" s="4">
        <v>4</v>
      </c>
      <c r="K22" s="4">
        <v>3</v>
      </c>
      <c r="L22" s="4" t="s">
        <v>50</v>
      </c>
      <c r="M22" s="4" t="s">
        <v>55</v>
      </c>
      <c r="N22" s="5">
        <f t="shared" si="0"/>
        <v>4.3</v>
      </c>
    </row>
    <row r="23" spans="1:14" x14ac:dyDescent="0.25">
      <c r="A23" s="2" t="s">
        <v>35</v>
      </c>
      <c r="B23" s="4">
        <v>4</v>
      </c>
      <c r="C23" s="4">
        <v>4</v>
      </c>
      <c r="D23" s="4">
        <v>3</v>
      </c>
      <c r="E23" s="4">
        <v>4</v>
      </c>
      <c r="F23" s="4">
        <v>4</v>
      </c>
      <c r="G23" s="4">
        <v>2</v>
      </c>
      <c r="H23" s="4">
        <v>3</v>
      </c>
      <c r="I23" s="4">
        <v>3</v>
      </c>
      <c r="J23" s="4">
        <v>2</v>
      </c>
      <c r="K23" s="4">
        <v>2</v>
      </c>
      <c r="L23" s="4" t="s">
        <v>54</v>
      </c>
      <c r="M23" s="4" t="s">
        <v>46</v>
      </c>
      <c r="N23" s="5">
        <f t="shared" si="0"/>
        <v>3.1</v>
      </c>
    </row>
    <row r="24" spans="1:14" x14ac:dyDescent="0.25">
      <c r="A24" s="2" t="s">
        <v>36</v>
      </c>
      <c r="B24" s="4">
        <v>5</v>
      </c>
      <c r="C24" s="4">
        <v>5</v>
      </c>
      <c r="D24" s="4">
        <v>5</v>
      </c>
      <c r="E24" s="4">
        <v>5</v>
      </c>
      <c r="F24" s="4">
        <v>5</v>
      </c>
      <c r="G24" s="4">
        <v>5</v>
      </c>
      <c r="H24" s="4">
        <v>5</v>
      </c>
      <c r="I24" s="4">
        <v>5</v>
      </c>
      <c r="J24" s="4">
        <v>5</v>
      </c>
      <c r="K24" s="4">
        <v>4</v>
      </c>
      <c r="L24" s="4" t="s">
        <v>43</v>
      </c>
      <c r="M24" s="4" t="s">
        <v>51</v>
      </c>
      <c r="N24" s="5">
        <f t="shared" si="0"/>
        <v>4.9000000000000004</v>
      </c>
    </row>
    <row r="25" spans="1:14" x14ac:dyDescent="0.25">
      <c r="A25" s="2" t="s">
        <v>37</v>
      </c>
      <c r="B25" s="4">
        <v>4</v>
      </c>
      <c r="C25" s="4">
        <v>3</v>
      </c>
      <c r="D25" s="4">
        <v>1</v>
      </c>
      <c r="E25" s="4">
        <v>4</v>
      </c>
      <c r="F25" s="4">
        <v>3</v>
      </c>
      <c r="G25" s="4">
        <v>2</v>
      </c>
      <c r="H25" s="4">
        <v>1</v>
      </c>
      <c r="I25" s="4">
        <v>2</v>
      </c>
      <c r="J25" s="4">
        <v>1</v>
      </c>
      <c r="K25" s="4">
        <v>1</v>
      </c>
      <c r="L25" s="4" t="s">
        <v>41</v>
      </c>
      <c r="M25" s="4" t="s">
        <v>42</v>
      </c>
      <c r="N25" s="5">
        <f t="shared" si="0"/>
        <v>2.2000000000000002</v>
      </c>
    </row>
    <row r="26" spans="1:14" x14ac:dyDescent="0.25">
      <c r="A26" s="2" t="s">
        <v>38</v>
      </c>
      <c r="B26" s="4">
        <v>5</v>
      </c>
      <c r="C26" s="4">
        <v>5</v>
      </c>
      <c r="D26" s="4">
        <v>5</v>
      </c>
      <c r="E26" s="4">
        <v>5</v>
      </c>
      <c r="F26" s="4">
        <v>5</v>
      </c>
      <c r="G26" s="4">
        <v>5</v>
      </c>
      <c r="H26" s="4">
        <v>5</v>
      </c>
      <c r="I26" s="4">
        <v>5</v>
      </c>
      <c r="J26" s="4">
        <v>5</v>
      </c>
      <c r="K26" s="4">
        <v>5</v>
      </c>
      <c r="L26" s="4" t="s">
        <v>47</v>
      </c>
      <c r="M26" s="4" t="s">
        <v>48</v>
      </c>
      <c r="N26" s="5">
        <f t="shared" si="0"/>
        <v>5</v>
      </c>
    </row>
    <row r="30" spans="1:14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spans="1:14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1:14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spans="1:14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spans="1:14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spans="1:14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 spans="1:14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</row>
    <row r="44" spans="1:14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spans="1:14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</row>
    <row r="48" spans="1:14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</row>
    <row r="50" spans="1:14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035D1-005B-492E-9E08-6A9E294523FB}">
  <dimension ref="A1:C11"/>
  <sheetViews>
    <sheetView tabSelected="1" workbookViewId="0">
      <selection activeCell="X8" sqref="X8"/>
    </sheetView>
  </sheetViews>
  <sheetFormatPr defaultRowHeight="15" x14ac:dyDescent="0.25"/>
  <cols>
    <col min="1" max="1" width="23" customWidth="1"/>
    <col min="2" max="3" width="14.42578125" bestFit="1" customWidth="1"/>
  </cols>
  <sheetData>
    <row r="1" spans="1:3" ht="30" x14ac:dyDescent="0.25">
      <c r="A1" s="8" t="s">
        <v>58</v>
      </c>
      <c r="B1" s="8" t="s">
        <v>59</v>
      </c>
      <c r="C1" s="8" t="s">
        <v>60</v>
      </c>
    </row>
    <row r="2" spans="1:3" ht="30" x14ac:dyDescent="0.25">
      <c r="A2" s="8" t="s">
        <v>1</v>
      </c>
      <c r="B2" s="4" cm="1">
        <f t="array" ref="B2">SUM(SUMIFS(Rezultati!B$2:B$26, Rezultati!$L$2:$L$26, {"12 MPix";"16 MPix";"20 MPix";"32 MPix";"48 MPix"})) / SUM(COUNTIFS(Rezultati!$L$2:$L$26, {"12 MPix";"16 MPix";"20 MPix";"32 MPix";"48 MPix"}))</f>
        <v>4.2857142857142856</v>
      </c>
      <c r="C2" s="4" cm="1">
        <f t="array" ref="C2">SUM(SUMIFS(Rezultati!B$2:B$26, Rezultati!$L$2:$L$26, {"50 MPix";"64 MPix";"108 MPix";"200 MPix"})) / SUM(COUNTIFS(Rezultati!$L$2:$L$26, {"50 MPix";"64 MPix";"108 MPix";"200 MPix"}))</f>
        <v>5</v>
      </c>
    </row>
    <row r="3" spans="1:3" x14ac:dyDescent="0.25">
      <c r="A3" s="8" t="s">
        <v>39</v>
      </c>
      <c r="B3" s="4" cm="1">
        <f t="array" ref="B3">SUM(SUMIFS(Rezultati!C$2:C$26, Rezultati!$L$2:$L$26, {"12 MPix";"16 MPix";"20 MPix";"32 MPix";"48 MPix"})) / SUM(COUNTIFS(Rezultati!$L$2:$L$26, {"12 MPix";"16 MPix";"20 MPix";"32 MPix";"48 MPix"}))</f>
        <v>4.0714285714285712</v>
      </c>
      <c r="C3" s="4" cm="1">
        <f t="array" ref="C3">SUM(SUMIFS(Rezultati!C$2:C$26, Rezultati!$L$2:$L$26, {"50 MPix";"64 MPix";"108 MPix";"200 MPix"})) / SUM(COUNTIFS(Rezultati!$L$2:$L$26, {"50 MPix";"64 MPix";"108 MPix";"200 MPix"}))</f>
        <v>5</v>
      </c>
    </row>
    <row r="4" spans="1:3" x14ac:dyDescent="0.25">
      <c r="A4" s="8" t="s">
        <v>40</v>
      </c>
      <c r="B4" s="4" cm="1">
        <f t="array" ref="B4">SUM(SUMIFS(Rezultati!D$2:D$26, Rezultati!$L$2:$L$26, {"12 MPix";"16 MPix";"20 MPix";"32 MPix";"48 MPix"})) / SUM(COUNTIFS(Rezultati!$L$2:$L$26, {"12 MPix";"16 MPix";"20 MPix";"32 MPix";"48 MPix"}))</f>
        <v>2.2142857142857144</v>
      </c>
      <c r="C4" s="4" cm="1">
        <f t="array" ref="C4">SUM(SUMIFS(Rezultati!D$2:D$26, Rezultati!$L$2:$L$26, {"50 MPix";"64 MPix";"108 MPix";"200 MPix"})) / SUM(COUNTIFS(Rezultati!$L$2:$L$26, {"50 MPix";"64 MPix";"108 MPix";"200 MPix"}))</f>
        <v>4.9090909090909092</v>
      </c>
    </row>
    <row r="5" spans="1:3" x14ac:dyDescent="0.25">
      <c r="A5" s="8" t="s">
        <v>2</v>
      </c>
      <c r="B5" s="4" cm="1">
        <f t="array" ref="B5">SUM(SUMIFS(Rezultati!E$2:E$26, Rezultati!$L$2:$L$26, {"12 MPix";"16 MPix";"20 MPix";"32 MPix";"48 MPix"})) / SUM(COUNTIFS(Rezultati!$L$2:$L$26, {"12 MPix";"16 MPix";"20 MPix";"32 MPix";"48 MPix"}))</f>
        <v>4.2142857142857144</v>
      </c>
      <c r="C5" s="4" cm="1">
        <f t="array" ref="C5">SUM(SUMIFS(Rezultati!E$2:E$26, Rezultati!$L$2:$L$26, {"50 MPix";"64 MPix";"108 MPix";"200 MPix"})) / SUM(COUNTIFS(Rezultati!$L$2:$L$26, {"50 MPix";"64 MPix";"108 MPix";"200 MPix"}))</f>
        <v>5</v>
      </c>
    </row>
    <row r="6" spans="1:3" ht="30" x14ac:dyDescent="0.25">
      <c r="A6" s="8" t="s">
        <v>5</v>
      </c>
      <c r="B6" s="4" cm="1">
        <f t="array" ref="B6">SUM(SUMIFS(Rezultati!F$2:F$26, Rezultati!$L$2:$L$26, {"12 MPix";"16 MPix";"20 MPix";"32 MPix";"48 MPix"})) / SUM(COUNTIFS(Rezultati!$L$2:$L$26, {"12 MPix";"16 MPix";"20 MPix";"32 MPix";"48 MPix"}))</f>
        <v>3.5</v>
      </c>
      <c r="C6" s="4" cm="1">
        <f t="array" ref="C6">SUM(SUMIFS(Rezultati!F$2:F$26, Rezultati!$L$2:$L$26, {"50 MPix";"64 MPix";"108 MPix";"200 MPix"})) / SUM(COUNTIFS(Rezultati!$L$2:$L$26, {"50 MPix";"64 MPix";"108 MPix";"200 MPix"}))</f>
        <v>5</v>
      </c>
    </row>
    <row r="7" spans="1:3" x14ac:dyDescent="0.25">
      <c r="A7" s="8" t="s">
        <v>6</v>
      </c>
      <c r="B7" s="4" cm="1">
        <f t="array" ref="B7">SUM(SUMIFS(Rezultati!G$2:G$26, Rezultati!$L$2:$L$26, {"12 MPix";"16 MPix";"20 MPix";"32 MPix";"48 MPix"})) / SUM(COUNTIFS(Rezultati!$L$2:$L$26, {"12 MPix";"16 MPix";"20 MPix";"32 MPix";"48 MPix"}))</f>
        <v>2.1428571428571428</v>
      </c>
      <c r="C7" s="4" cm="1">
        <f t="array" ref="C7">SUM(SUMIFS(Rezultati!G$2:G$26, Rezultati!$L$2:$L$26, {"50 MPix";"64 MPix";"108 MPix";"200 MPix"})) / SUM(COUNTIFS(Rezultati!$L$2:$L$26, {"50 MPix";"64 MPix";"108 MPix";"200 MPix"}))</f>
        <v>4.9090909090909092</v>
      </c>
    </row>
    <row r="8" spans="1:3" x14ac:dyDescent="0.25">
      <c r="A8" s="8" t="s">
        <v>7</v>
      </c>
      <c r="B8" s="4" cm="1">
        <f t="array" ref="B8">SUM(SUMIFS(Rezultati!H$2:H$26, Rezultati!$L$2:$L$26, {"12 MPix";"16 MPix";"20 MPix";"32 MPix";"48 MPix"})) / SUM(COUNTIFS(Rezultati!$L$2:$L$26, {"12 MPix";"16 MPix";"20 MPix";"32 MPix";"48 MPix"}))</f>
        <v>2.0714285714285716</v>
      </c>
      <c r="C8" s="4" cm="1">
        <f t="array" ref="C8">SUM(SUMIFS(Rezultati!H$2:H$26, Rezultati!$L$2:$L$26, {"50 MPix";"64 MPix";"108 MPix";"200 MPix"})) / SUM(COUNTIFS(Rezultati!$L$2:$L$26, {"50 MPix";"64 MPix";"108 MPix";"200 MPix"}))</f>
        <v>4.9090909090909092</v>
      </c>
    </row>
    <row r="9" spans="1:3" x14ac:dyDescent="0.25">
      <c r="A9" s="8" t="s">
        <v>8</v>
      </c>
      <c r="B9" s="4" cm="1">
        <f t="array" ref="B9">SUM(SUMIFS(Rezultati!I$2:I$26, Rezultati!$L$2:$L$26, {"12 MPix";"16 MPix";"20 MPix";"32 MPix";"48 MPix"})) / SUM(COUNTIFS(Rezultati!$L$2:$L$26, {"12 MPix";"16 MPix";"20 MPix";"32 MPix";"48 MPix"}))</f>
        <v>2.7857142857142856</v>
      </c>
      <c r="C9" s="4" cm="1">
        <f t="array" ref="C9">SUM(SUMIFS(Rezultati!I$2:I$26, Rezultati!$L$2:$L$26, {"50 MPix";"64 MPix";"108 MPix";"200 MPix"})) / SUM(COUNTIFS(Rezultati!$L$2:$L$26, {"50 MPix";"64 MPix";"108 MPix";"200 MPix"}))</f>
        <v>4.8181818181818183</v>
      </c>
    </row>
    <row r="10" spans="1:3" ht="45" x14ac:dyDescent="0.25">
      <c r="A10" s="8" t="s">
        <v>9</v>
      </c>
      <c r="B10" s="4" cm="1">
        <f t="array" ref="B10">SUM(SUMIFS(Rezultati!J$2:J$26, Rezultati!$L$2:$L$26, {"12 MPix";"16 MPix";"20 MPix";"32 MPix";"48 MPix"})) / SUM(COUNTIFS(Rezultati!$L$2:$L$26, {"12 MPix";"16 MPix";"20 MPix";"32 MPix";"48 MPix"}))</f>
        <v>1.5</v>
      </c>
      <c r="C10" s="4" cm="1">
        <f t="array" ref="C10">SUM(SUMIFS(Rezultati!J$2:J$26, Rezultati!$L$2:$L$26, {"50 MPix";"64 MPix";"108 MPix";"200 MPix"})) / SUM(COUNTIFS(Rezultati!$L$2:$L$26, {"50 MPix";"64 MPix";"108 MPix";"200 MPix"}))</f>
        <v>4.7272727272727275</v>
      </c>
    </row>
    <row r="11" spans="1:3" ht="45" x14ac:dyDescent="0.25">
      <c r="A11" s="8" t="s">
        <v>10</v>
      </c>
      <c r="B11" s="4" cm="1">
        <f t="array" ref="B11">SUM(SUMIFS(Rezultati!K$2:K$26, Rezultati!$L$2:$L$26, {"12 MPix";"16 MPix";"20 MPix";"32 MPix";"48 MPix"})) / SUM(COUNTIFS(Rezultati!$L$2:$L$26, {"12 MPix";"16 MPix";"20 MPix";"32 MPix";"48 MPix"}))</f>
        <v>1.5</v>
      </c>
      <c r="C11" s="4" cm="1">
        <f t="array" ref="C11">SUM(SUMIFS(Rezultati!K$2:K$26, Rezultati!$L$2:$L$26, {"50 MPix";"64 MPix";"108 MPix";"200 MPix"})) / SUM(COUNTIFS(Rezultati!$L$2:$L$26, {"50 MPix";"64 MPix";"108 MPix";"200 MPix"}))</f>
        <v>4.4545454545454541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Rezultati</vt:lpstr>
      <vt:lpstr>Agregirani podatci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 Folnegović</dc:creator>
  <cp:lastModifiedBy>Filip Folnegović | Student</cp:lastModifiedBy>
  <dcterms:created xsi:type="dcterms:W3CDTF">2015-06-05T18:19:34Z</dcterms:created>
  <dcterms:modified xsi:type="dcterms:W3CDTF">2026-09-09T07:02:28Z</dcterms:modified>
</cp:coreProperties>
</file>